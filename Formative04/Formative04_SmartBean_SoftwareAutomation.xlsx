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wp8798rh_minnstate_edu/Documents/GitHub/eprof1/MIS362_AI/Formative04/"/>
    </mc:Choice>
  </mc:AlternateContent>
  <xr:revisionPtr revIDLastSave="3" documentId="11_CDFF165BB7D61A63B4F312E0D401BF80E90B5F01" xr6:coauthVersionLast="47" xr6:coauthVersionMax="47" xr10:uidLastSave="{61039780-9A8E-4552-969D-8A380CA6AC65}"/>
  <bookViews>
    <workbookView xWindow="11496" yWindow="-23472" windowWidth="21168" windowHeight="20184" xr2:uid="{00000000-000D-0000-FFFF-FFFF00000000}"/>
  </bookViews>
  <sheets>
    <sheet name="1-StorageRequirements" sheetId="1" r:id="rId1"/>
    <sheet name="2-AutomationTesting" sheetId="2" r:id="rId2"/>
    <sheet name="3-AcquisitionOptions" sheetId="3" r:id="rId3"/>
    <sheet name="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  <c r="G10" i="3"/>
  <c r="F10" i="3"/>
  <c r="H9" i="3"/>
  <c r="G9" i="3"/>
  <c r="F9" i="3"/>
  <c r="H8" i="3"/>
  <c r="G8" i="3"/>
  <c r="F8" i="3"/>
  <c r="H7" i="3"/>
  <c r="G7" i="3"/>
  <c r="F7" i="3"/>
  <c r="F11" i="3" s="1"/>
  <c r="H6" i="3"/>
  <c r="H11" i="3" s="1"/>
  <c r="G6" i="3"/>
  <c r="G11" i="3" s="1"/>
  <c r="F6" i="3"/>
  <c r="H5" i="3"/>
  <c r="G5" i="3"/>
  <c r="F5" i="3"/>
  <c r="D11" i="2"/>
  <c r="F11" i="2" s="1"/>
  <c r="G11" i="2" s="1"/>
  <c r="D10" i="2"/>
  <c r="F10" i="2" s="1"/>
  <c r="G10" i="2" s="1"/>
  <c r="D9" i="2"/>
  <c r="F9" i="2" s="1"/>
  <c r="G9" i="2" s="1"/>
  <c r="D8" i="2"/>
  <c r="F8" i="2" s="1"/>
  <c r="G8" i="2" s="1"/>
  <c r="D7" i="2"/>
  <c r="F7" i="2" s="1"/>
  <c r="G7" i="2" s="1"/>
  <c r="D6" i="2"/>
  <c r="F6" i="2" s="1"/>
  <c r="G6" i="2" s="1"/>
  <c r="D5" i="2"/>
  <c r="F5" i="2" s="1"/>
  <c r="G5" i="2" s="1"/>
  <c r="F8" i="1"/>
  <c r="F7" i="1"/>
  <c r="F6" i="1"/>
  <c r="F5" i="1"/>
</calcChain>
</file>

<file path=xl/sharedStrings.xml><?xml version="1.0" encoding="utf-8"?>
<sst xmlns="http://schemas.openxmlformats.org/spreadsheetml/2006/main" count="165" uniqueCount="153">
  <si>
    <t>SmartBean Software Acquisition — Storage Requirements</t>
  </si>
  <si>
    <t>Estimate SmartBean's storage needs for transaction records, security video, backups, and AI-generated files. Use the estimates to consider local, cloud, or hybrid software deployment.</t>
  </si>
  <si>
    <t>Data Category</t>
  </si>
  <si>
    <t>Estimated Amount per Day</t>
  </si>
  <si>
    <t>Unit</t>
  </si>
  <si>
    <t>Days Retained</t>
  </si>
  <si>
    <t>Copies</t>
  </si>
  <si>
    <t>Total Amount</t>
  </si>
  <si>
    <t>Notes</t>
  </si>
  <si>
    <t>Transaction records</t>
  </si>
  <si>
    <t>GB</t>
  </si>
  <si>
    <t>Primary plus backup</t>
  </si>
  <si>
    <t>Security video</t>
  </si>
  <si>
    <t>Retention may vary</t>
  </si>
  <si>
    <t>AI-generated files</t>
  </si>
  <si>
    <t>Reports, images, exports</t>
  </si>
  <si>
    <t>System backups</t>
  </si>
  <si>
    <t>Rolling backup set</t>
  </si>
  <si>
    <t>Deployment Comparison</t>
  </si>
  <si>
    <t>Option</t>
  </si>
  <si>
    <t>Storage Responsibility</t>
  </si>
  <si>
    <t>Scalability</t>
  </si>
  <si>
    <t>Up-front Cost</t>
  </si>
  <si>
    <t>Ongoing Cost</t>
  </si>
  <si>
    <t>Control</t>
  </si>
  <si>
    <t>Vendor Dependence</t>
  </si>
  <si>
    <t>Student Notes</t>
  </si>
  <si>
    <t>Local software</t>
  </si>
  <si>
    <t>SmartBean</t>
  </si>
  <si>
    <t>Limited by owned hardware</t>
  </si>
  <si>
    <t>Higher</t>
  </si>
  <si>
    <t>Maintenance and replacement</t>
  </si>
  <si>
    <t>Higher direct control</t>
  </si>
  <si>
    <t>Lower to moderate</t>
  </si>
  <si>
    <t>Cloud subscription</t>
  </si>
  <si>
    <t>Vendor</t>
  </si>
  <si>
    <t>Usually easier to scale</t>
  </si>
  <si>
    <t>Lower</t>
  </si>
  <si>
    <t>Recurring subscription</t>
  </si>
  <si>
    <t>Shared with vendor</t>
  </si>
  <si>
    <t>Hybrid</t>
  </si>
  <si>
    <t>Shared</t>
  </si>
  <si>
    <t>Moderate to high</t>
  </si>
  <si>
    <t>Moderate</t>
  </si>
  <si>
    <t>Mixed</t>
  </si>
  <si>
    <t>Use familiar business terms such as gigabyte and terabyte. The Reference sheet introduces more precise binary terms such as GiB and TiB.</t>
  </si>
  <si>
    <t>SmartBean Automation — Business Rule and Test Cases</t>
  </si>
  <si>
    <t>Automate SmartBean's Orders per Labor Hour calculation. Handle expected and exceptional conditions, then document test results.</t>
  </si>
  <si>
    <t>Day</t>
  </si>
  <si>
    <t>Customer Orders</t>
  </si>
  <si>
    <t>Labor Hours</t>
  </si>
  <si>
    <t>Orders per Labor Hour</t>
  </si>
  <si>
    <t>Expected Result</t>
  </si>
  <si>
    <t>Actual Result</t>
  </si>
  <si>
    <t>Pass/Fail</t>
  </si>
  <si>
    <t>Monday</t>
  </si>
  <si>
    <t>Tuesday</t>
  </si>
  <si>
    <t>Wednesday</t>
  </si>
  <si>
    <t>Thursday</t>
  </si>
  <si>
    <t>Undefined division</t>
  </si>
  <si>
    <t>Friday</t>
  </si>
  <si>
    <t>Saturday</t>
  </si>
  <si>
    <t>Missing labor hours</t>
  </si>
  <si>
    <t>Sunday</t>
  </si>
  <si>
    <t>Review input</t>
  </si>
  <si>
    <t>Testing Vocabulary</t>
  </si>
  <si>
    <t>Business requirement</t>
  </si>
  <si>
    <t>What the spreadsheet must do</t>
  </si>
  <si>
    <t>Functional requirement</t>
  </si>
  <si>
    <t>The specific calculation or behavior</t>
  </si>
  <si>
    <t>Exception condition</t>
  </si>
  <si>
    <t>A case that cannot be handled by ordinary calculation</t>
  </si>
  <si>
    <t>Expected result</t>
  </si>
  <si>
    <t>What should happen for a test input</t>
  </si>
  <si>
    <t>Actual result</t>
  </si>
  <si>
    <t>What the spreadsheet produced</t>
  </si>
  <si>
    <t>User acceptance</t>
  </si>
  <si>
    <t>Whether the result meets the user's needs</t>
  </si>
  <si>
    <t>SmartBean Software Acquisition — Build, Buy, or Subscribe</t>
  </si>
  <si>
    <t>Rate three software acquisition options. Use a 1–5 scale, where 5 is most favorable. The weighted score helps organize the decision but does not replace management judgment.</t>
  </si>
  <si>
    <t>Criterion</t>
  </si>
  <si>
    <t>Weight</t>
  </si>
  <si>
    <t>Build Custom</t>
  </si>
  <si>
    <t>Buy Package</t>
  </si>
  <si>
    <t>Cloud Subscription</t>
  </si>
  <si>
    <t>Build Weighted</t>
  </si>
  <si>
    <t>Buy Weighted</t>
  </si>
  <si>
    <t>Cloud Weighted</t>
  </si>
  <si>
    <t>Initial cost</t>
  </si>
  <si>
    <t>Implementation time</t>
  </si>
  <si>
    <t>Customization</t>
  </si>
  <si>
    <t>Vendor support</t>
  </si>
  <si>
    <t>Privacy/control</t>
  </si>
  <si>
    <t>Total</t>
  </si>
  <si>
    <t>Decision Guidance</t>
  </si>
  <si>
    <t>Strength</t>
  </si>
  <si>
    <t>Limitation</t>
  </si>
  <si>
    <t>Best fit</t>
  </si>
  <si>
    <t>Maximum customization and control</t>
  </si>
  <si>
    <t>Higher cost, time, and support burden</t>
  </si>
  <si>
    <t>Unique strategic process</t>
  </si>
  <si>
    <t>Balanced features and support</t>
  </si>
  <si>
    <t>May require process changes</t>
  </si>
  <si>
    <t>Common business need</t>
  </si>
  <si>
    <t>Fast deployment and scalability</t>
  </si>
  <si>
    <t>Recurring cost and vendor dependence</t>
  </si>
  <si>
    <t>Rapid growth and limited IT staff</t>
  </si>
  <si>
    <t>Reference: Storage Terms and Software Decisions</t>
  </si>
  <si>
    <t>Familiar Term</t>
  </si>
  <si>
    <t>Decimal Meaning</t>
  </si>
  <si>
    <t>Binary Value Often Associated</t>
  </si>
  <si>
    <t>More Precise Binary Term</t>
  </si>
  <si>
    <t>kilobyte</t>
  </si>
  <si>
    <t>10^3 = 1,000 bytes</t>
  </si>
  <si>
    <t>2^10 = 1,024 bytes</t>
  </si>
  <si>
    <t>kibibyte (KiB)</t>
  </si>
  <si>
    <t>megabyte</t>
  </si>
  <si>
    <t>10^6 = 1,000,000 bytes</t>
  </si>
  <si>
    <t>2^20 = 1,048,576 bytes</t>
  </si>
  <si>
    <t>mebibyte (MiB)</t>
  </si>
  <si>
    <t>gigabyte</t>
  </si>
  <si>
    <t>10^9 = 1,000,000,000 bytes</t>
  </si>
  <si>
    <t>2^30 = 1,073,741,824 bytes</t>
  </si>
  <si>
    <t>gibibyte (GiB)</t>
  </si>
  <si>
    <t>terabyte</t>
  </si>
  <si>
    <t>10^12 = 1,000,000,000,000 bytes</t>
  </si>
  <si>
    <t>2^40 = 1,099,511,627,776 bytes</t>
  </si>
  <si>
    <t>tebibyte (TiB)</t>
  </si>
  <si>
    <t>petabyte</t>
  </si>
  <si>
    <t>10^15</t>
  </si>
  <si>
    <t>2^50</t>
  </si>
  <si>
    <t>pebibyte (PiB)</t>
  </si>
  <si>
    <t>exabyte</t>
  </si>
  <si>
    <t>10^18</t>
  </si>
  <si>
    <t>2^60</t>
  </si>
  <si>
    <t>exbibyte (EiB)</t>
  </si>
  <si>
    <t>Acquisition Term</t>
  </si>
  <si>
    <t>Meaning</t>
  </si>
  <si>
    <t>Example</t>
  </si>
  <si>
    <t>Main Question</t>
  </si>
  <si>
    <t>Build</t>
  </si>
  <si>
    <t>Develop custom software</t>
  </si>
  <si>
    <t>SmartBean creates its own system</t>
  </si>
  <si>
    <t>Is customization worth the cost and time?</t>
  </si>
  <si>
    <t>Buy</t>
  </si>
  <si>
    <t>Purchase an installed package</t>
  </si>
  <si>
    <t>SmartBean licenses commercial software</t>
  </si>
  <si>
    <t>Does the package fit the process?</t>
  </si>
  <si>
    <t>Subscribe</t>
  </si>
  <si>
    <t>Use a cloud service</t>
  </si>
  <si>
    <t>SmartBean pays a recurring fee</t>
  </si>
  <si>
    <t>Are speed and scalability worth vendor dependence?</t>
  </si>
  <si>
    <t>Business-Friendly Storage Estimate (GB, TB, 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</si>
</sst>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2" fontId="0" fillId="5" borderId="0" xfId="0" applyNumberFormat="1" applyFill="1" applyAlignment="1">
      <alignment wrapText="1"/>
    </xf>
    <xf numFmtId="9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G5" sqref="G5"/>
    </sheetView>
  </sheetViews>
  <sheetFormatPr defaultRowHeight="13.8"/>
  <cols>
    <col min="1" max="1" width="24" customWidth="1"/>
    <col min="2" max="2" width="20" customWidth="1"/>
    <col min="3" max="3" width="10" customWidth="1"/>
    <col min="4" max="4" width="14" customWidth="1"/>
    <col min="5" max="5" width="10" customWidth="1"/>
    <col min="6" max="6" width="18" customWidth="1"/>
    <col min="7" max="7" width="26.296875" customWidth="1"/>
    <col min="8" max="8" width="28" customWidth="1"/>
  </cols>
  <sheetData>
    <row r="1" spans="1:8" ht="61.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73.95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8" ht="12" customHeight="1">
      <c r="A3" s="2"/>
      <c r="B3" s="2"/>
      <c r="C3" s="2"/>
      <c r="D3" s="2"/>
      <c r="E3" s="2"/>
      <c r="F3" s="2"/>
      <c r="G3" s="2"/>
      <c r="H3" s="2"/>
    </row>
    <row r="4" spans="1:8" ht="37.799999999999997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152</v>
      </c>
      <c r="H4" s="1" t="s">
        <v>8</v>
      </c>
    </row>
    <row r="5" spans="1:8" ht="12" customHeight="1">
      <c r="A5" s="2" t="s">
        <v>9</v>
      </c>
      <c r="B5" s="2">
        <v>2</v>
      </c>
      <c r="C5" s="2" t="s">
        <v>10</v>
      </c>
      <c r="D5" s="2">
        <v>365</v>
      </c>
      <c r="E5" s="2">
        <v>2</v>
      </c>
      <c r="F5" s="3">
        <f>B5*D5*E5</f>
        <v>1460</v>
      </c>
      <c r="G5" s="3"/>
      <c r="H5" s="2" t="s">
        <v>11</v>
      </c>
    </row>
    <row r="6" spans="1:8" ht="12" customHeight="1">
      <c r="A6" s="2" t="s">
        <v>12</v>
      </c>
      <c r="B6" s="2">
        <v>40</v>
      </c>
      <c r="C6" s="2" t="s">
        <v>10</v>
      </c>
      <c r="D6" s="2">
        <v>30</v>
      </c>
      <c r="E6" s="2">
        <v>2</v>
      </c>
      <c r="F6" s="3">
        <f>B6*D6*E6</f>
        <v>2400</v>
      </c>
      <c r="G6" s="3"/>
      <c r="H6" s="2" t="s">
        <v>13</v>
      </c>
    </row>
    <row r="7" spans="1:8" ht="12" customHeight="1">
      <c r="A7" s="2" t="s">
        <v>14</v>
      </c>
      <c r="B7" s="2">
        <v>5</v>
      </c>
      <c r="C7" s="2" t="s">
        <v>10</v>
      </c>
      <c r="D7" s="2">
        <v>180</v>
      </c>
      <c r="E7" s="2">
        <v>2</v>
      </c>
      <c r="F7" s="3">
        <f>B7*D7*E7</f>
        <v>1800</v>
      </c>
      <c r="G7" s="3"/>
      <c r="H7" s="2" t="s">
        <v>15</v>
      </c>
    </row>
    <row r="8" spans="1:8" ht="12" customHeight="1">
      <c r="A8" s="2" t="s">
        <v>16</v>
      </c>
      <c r="B8" s="2">
        <v>25</v>
      </c>
      <c r="C8" s="2" t="s">
        <v>10</v>
      </c>
      <c r="D8" s="2">
        <v>14</v>
      </c>
      <c r="E8" s="2">
        <v>1</v>
      </c>
      <c r="F8" s="3">
        <f>B8*D8*E8</f>
        <v>350</v>
      </c>
      <c r="G8" s="3"/>
      <c r="H8" s="2" t="s">
        <v>17</v>
      </c>
    </row>
    <row r="9" spans="1:8" ht="12" customHeight="1">
      <c r="A9" s="2"/>
      <c r="B9" s="2"/>
      <c r="C9" s="2"/>
      <c r="D9" s="2"/>
      <c r="E9" s="2"/>
      <c r="F9" s="2"/>
      <c r="G9" s="2"/>
      <c r="H9" s="2"/>
    </row>
    <row r="10" spans="1:8" ht="12" customHeight="1">
      <c r="A10" s="8" t="s">
        <v>18</v>
      </c>
      <c r="B10" s="8"/>
      <c r="C10" s="8"/>
      <c r="D10" s="8"/>
      <c r="E10" s="8"/>
      <c r="F10" s="8"/>
      <c r="G10" s="8"/>
      <c r="H10" s="8"/>
    </row>
    <row r="11" spans="1:8" ht="21.15" customHeight="1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</row>
    <row r="12" spans="1:8" ht="31.65" customHeight="1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3"/>
    </row>
    <row r="13" spans="1:8" ht="31.65" customHeight="1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30</v>
      </c>
      <c r="H13" s="3"/>
    </row>
    <row r="14" spans="1:8" ht="21.15" customHeight="1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44</v>
      </c>
      <c r="F14" s="2" t="s">
        <v>41</v>
      </c>
      <c r="G14" s="2" t="s">
        <v>43</v>
      </c>
      <c r="H14" s="3"/>
    </row>
    <row r="15" spans="1:8" ht="12" customHeight="1">
      <c r="A15" s="2"/>
      <c r="B15" s="2"/>
      <c r="C15" s="2"/>
      <c r="D15" s="2"/>
      <c r="E15" s="2"/>
      <c r="F15" s="2"/>
      <c r="G15" s="2"/>
      <c r="H15" s="2"/>
    </row>
    <row r="16" spans="1:8" ht="63.3" customHeight="1">
      <c r="A16" s="8" t="s">
        <v>45</v>
      </c>
      <c r="B16" s="8"/>
      <c r="C16" s="8"/>
      <c r="D16" s="8"/>
      <c r="E16" s="8"/>
      <c r="F16" s="8"/>
      <c r="G16" s="8"/>
      <c r="H16" s="8"/>
    </row>
  </sheetData>
  <mergeCells count="4">
    <mergeCell ref="A1:H1"/>
    <mergeCell ref="A2:H2"/>
    <mergeCell ref="A10:H10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/>
  </sheetViews>
  <sheetFormatPr defaultRowHeight="13.8"/>
  <cols>
    <col min="1" max="2" width="18" customWidth="1"/>
    <col min="3" max="3" width="15" customWidth="1"/>
    <col min="4" max="5" width="24" customWidth="1"/>
    <col min="6" max="6" width="20" customWidth="1"/>
    <col min="7" max="7" width="14" customWidth="1"/>
  </cols>
  <sheetData>
    <row r="1" spans="1:7" ht="61.5" customHeight="1">
      <c r="A1" s="7" t="s">
        <v>46</v>
      </c>
      <c r="B1" s="7"/>
      <c r="C1" s="7"/>
      <c r="D1" s="7"/>
      <c r="E1" s="7"/>
      <c r="F1" s="7"/>
      <c r="G1" s="7"/>
    </row>
    <row r="2" spans="1:7" ht="84.45" customHeight="1">
      <c r="A2" s="8" t="s">
        <v>47</v>
      </c>
      <c r="B2" s="8"/>
      <c r="C2" s="8"/>
      <c r="D2" s="8"/>
      <c r="E2" s="8"/>
      <c r="F2" s="8"/>
      <c r="G2" s="8"/>
    </row>
    <row r="3" spans="1:7" ht="12" customHeight="1">
      <c r="A3" s="2"/>
      <c r="B3" s="2"/>
      <c r="C3" s="2"/>
      <c r="D3" s="2"/>
      <c r="E3" s="2"/>
      <c r="F3" s="2"/>
      <c r="G3" s="2"/>
    </row>
    <row r="4" spans="1:7" ht="12" customHeight="1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</row>
    <row r="5" spans="1:7" ht="12" customHeight="1">
      <c r="A5" s="2" t="s">
        <v>55</v>
      </c>
      <c r="B5" s="2">
        <v>580</v>
      </c>
      <c r="C5" s="2">
        <v>52.6</v>
      </c>
      <c r="D5" s="4">
        <f t="shared" ref="D5:D11" si="0">IF(ISBLANK(C5),"Missing labor hours",IF(C5=0,"Undefined division",IF(B5&lt;0,"Review input",B5/C5)))</f>
        <v>11.02661596958175</v>
      </c>
      <c r="E5" s="4">
        <v>11.03</v>
      </c>
      <c r="F5" s="4">
        <f t="shared" ref="F5:F11" si="1">D5</f>
        <v>11.02661596958175</v>
      </c>
      <c r="G5" s="3" t="str">
        <f t="shared" ref="G5:G11" si="2">IF(AND(ISNUMBER(E5),ISNUMBER(F5)),IF(ROUND(E5,2)=ROUND(F5,2),"Pass","Fail"),IF(E5=F5,"Pass","Fail"))</f>
        <v>Pass</v>
      </c>
    </row>
    <row r="6" spans="1:7" ht="12" customHeight="1">
      <c r="A6" s="2" t="s">
        <v>56</v>
      </c>
      <c r="B6" s="2">
        <v>884</v>
      </c>
      <c r="C6" s="2">
        <v>36.5</v>
      </c>
      <c r="D6" s="4">
        <f t="shared" si="0"/>
        <v>24.219178082191782</v>
      </c>
      <c r="E6" s="4">
        <v>24.22</v>
      </c>
      <c r="F6" s="4">
        <f t="shared" si="1"/>
        <v>24.219178082191782</v>
      </c>
      <c r="G6" s="3" t="str">
        <f t="shared" si="2"/>
        <v>Pass</v>
      </c>
    </row>
    <row r="7" spans="1:7" ht="12" customHeight="1">
      <c r="A7" s="2" t="s">
        <v>57</v>
      </c>
      <c r="B7" s="2">
        <v>97</v>
      </c>
      <c r="C7" s="2">
        <v>36.299999999999997</v>
      </c>
      <c r="D7" s="4">
        <f t="shared" si="0"/>
        <v>2.672176308539945</v>
      </c>
      <c r="E7" s="4">
        <v>2.67</v>
      </c>
      <c r="F7" s="4">
        <f t="shared" si="1"/>
        <v>2.672176308539945</v>
      </c>
      <c r="G7" s="3" t="str">
        <f t="shared" si="2"/>
        <v>Pass</v>
      </c>
    </row>
    <row r="8" spans="1:7" ht="12" customHeight="1">
      <c r="A8" s="2" t="s">
        <v>58</v>
      </c>
      <c r="B8" s="2">
        <v>453</v>
      </c>
      <c r="C8" s="2">
        <v>0</v>
      </c>
      <c r="D8" s="4" t="str">
        <f t="shared" si="0"/>
        <v>Undefined division</v>
      </c>
      <c r="E8" s="4" t="s">
        <v>59</v>
      </c>
      <c r="F8" s="4" t="str">
        <f t="shared" si="1"/>
        <v>Undefined division</v>
      </c>
      <c r="G8" s="3" t="str">
        <f t="shared" si="2"/>
        <v>Pass</v>
      </c>
    </row>
    <row r="9" spans="1:7" ht="12" customHeight="1">
      <c r="A9" s="2" t="s">
        <v>60</v>
      </c>
      <c r="B9" s="2">
        <v>259</v>
      </c>
      <c r="C9" s="2">
        <v>14.2</v>
      </c>
      <c r="D9" s="4">
        <f t="shared" si="0"/>
        <v>18.239436619718312</v>
      </c>
      <c r="E9" s="4">
        <v>18.239999999999998</v>
      </c>
      <c r="F9" s="4">
        <f t="shared" si="1"/>
        <v>18.239436619718312</v>
      </c>
      <c r="G9" s="3" t="str">
        <f t="shared" si="2"/>
        <v>Pass</v>
      </c>
    </row>
    <row r="10" spans="1:7" ht="12" customHeight="1">
      <c r="A10" s="2" t="s">
        <v>61</v>
      </c>
      <c r="B10" s="2">
        <v>296</v>
      </c>
      <c r="C10" s="2"/>
      <c r="D10" s="4" t="str">
        <f t="shared" si="0"/>
        <v>Missing labor hours</v>
      </c>
      <c r="E10" s="4" t="s">
        <v>62</v>
      </c>
      <c r="F10" s="4" t="str">
        <f t="shared" si="1"/>
        <v>Missing labor hours</v>
      </c>
      <c r="G10" s="3" t="str">
        <f t="shared" si="2"/>
        <v>Pass</v>
      </c>
    </row>
    <row r="11" spans="1:7" ht="12" customHeight="1">
      <c r="A11" s="2" t="s">
        <v>63</v>
      </c>
      <c r="B11" s="2">
        <v>-20</v>
      </c>
      <c r="C11" s="2">
        <v>18.7</v>
      </c>
      <c r="D11" s="4" t="str">
        <f t="shared" si="0"/>
        <v>Review input</v>
      </c>
      <c r="E11" s="4" t="s">
        <v>64</v>
      </c>
      <c r="F11" s="4" t="str">
        <f t="shared" si="1"/>
        <v>Review input</v>
      </c>
      <c r="G11" s="3" t="str">
        <f t="shared" si="2"/>
        <v>Pass</v>
      </c>
    </row>
    <row r="12" spans="1:7" ht="12" customHeight="1">
      <c r="A12" s="2"/>
      <c r="B12" s="2"/>
      <c r="C12" s="2"/>
      <c r="D12" s="2"/>
      <c r="E12" s="2"/>
      <c r="F12" s="2"/>
      <c r="G12" s="2"/>
    </row>
    <row r="13" spans="1:7" ht="12" customHeight="1">
      <c r="A13" s="8" t="s">
        <v>65</v>
      </c>
      <c r="B13" s="8"/>
      <c r="C13" s="8"/>
      <c r="D13" s="8"/>
      <c r="E13" s="8"/>
      <c r="F13" s="8"/>
      <c r="G13" s="8"/>
    </row>
    <row r="14" spans="1:7" ht="21.15" customHeight="1">
      <c r="A14" s="2" t="s">
        <v>66</v>
      </c>
      <c r="B14" s="2" t="s">
        <v>67</v>
      </c>
      <c r="C14" s="2"/>
      <c r="D14" s="2"/>
      <c r="E14" s="2"/>
      <c r="F14" s="2"/>
      <c r="G14" s="2"/>
    </row>
    <row r="15" spans="1:7" ht="21.15" customHeight="1">
      <c r="A15" s="2" t="s">
        <v>68</v>
      </c>
      <c r="B15" s="2" t="s">
        <v>69</v>
      </c>
      <c r="C15" s="2"/>
      <c r="D15" s="2"/>
      <c r="E15" s="2"/>
      <c r="F15" s="2"/>
      <c r="G15" s="2"/>
    </row>
    <row r="16" spans="1:7" ht="31.65" customHeight="1">
      <c r="A16" s="2" t="s">
        <v>70</v>
      </c>
      <c r="B16" s="2" t="s">
        <v>71</v>
      </c>
      <c r="C16" s="2"/>
      <c r="D16" s="2"/>
      <c r="E16" s="2"/>
      <c r="F16" s="2"/>
      <c r="G16" s="2"/>
    </row>
    <row r="17" spans="1:7" ht="21.15" customHeight="1">
      <c r="A17" s="2" t="s">
        <v>72</v>
      </c>
      <c r="B17" s="2" t="s">
        <v>73</v>
      </c>
      <c r="C17" s="2"/>
      <c r="D17" s="2"/>
      <c r="E17" s="2"/>
      <c r="F17" s="2"/>
      <c r="G17" s="2"/>
    </row>
    <row r="18" spans="1:7" ht="21.15" customHeight="1">
      <c r="A18" s="2" t="s">
        <v>74</v>
      </c>
      <c r="B18" s="2" t="s">
        <v>75</v>
      </c>
      <c r="C18" s="2"/>
      <c r="D18" s="2"/>
      <c r="E18" s="2"/>
      <c r="F18" s="2"/>
      <c r="G18" s="2"/>
    </row>
    <row r="19" spans="1:7" ht="21.15" customHeight="1">
      <c r="A19" s="2" t="s">
        <v>76</v>
      </c>
      <c r="B19" s="2" t="s">
        <v>77</v>
      </c>
      <c r="C19" s="2"/>
      <c r="D19" s="2"/>
      <c r="E19" s="2"/>
      <c r="F19" s="2"/>
      <c r="G19" s="2"/>
    </row>
  </sheetData>
  <mergeCells count="3">
    <mergeCell ref="A1:G1"/>
    <mergeCell ref="A2:G2"/>
    <mergeCell ref="A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3.8"/>
  <cols>
    <col min="1" max="1" width="24" customWidth="1"/>
    <col min="2" max="2" width="12" customWidth="1"/>
    <col min="3" max="8" width="16" customWidth="1"/>
    <col min="9" max="9" width="28" customWidth="1"/>
  </cols>
  <sheetData>
    <row r="1" spans="1:9" ht="46.05" customHeight="1">
      <c r="A1" s="7" t="s">
        <v>78</v>
      </c>
      <c r="B1" s="7"/>
      <c r="C1" s="7"/>
      <c r="D1" s="7"/>
      <c r="E1" s="7"/>
      <c r="F1" s="7"/>
      <c r="G1" s="7"/>
      <c r="H1" s="7"/>
      <c r="I1" s="7"/>
    </row>
    <row r="2" spans="1:9" ht="73.95" customHeight="1">
      <c r="A2" s="8" t="s">
        <v>79</v>
      </c>
      <c r="B2" s="8"/>
      <c r="C2" s="8"/>
      <c r="D2" s="8"/>
      <c r="E2" s="8"/>
      <c r="F2" s="8"/>
      <c r="G2" s="8"/>
      <c r="H2" s="8"/>
      <c r="I2" s="8"/>
    </row>
    <row r="3" spans="1:9" ht="12" customHeight="1">
      <c r="A3" s="2"/>
      <c r="B3" s="2"/>
      <c r="C3" s="2"/>
      <c r="D3" s="2"/>
      <c r="E3" s="2"/>
      <c r="F3" s="2"/>
      <c r="G3" s="2"/>
      <c r="H3" s="2"/>
      <c r="I3" s="2"/>
    </row>
    <row r="4" spans="1:9" ht="12" customHeight="1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8</v>
      </c>
    </row>
    <row r="5" spans="1:9" ht="12" customHeight="1">
      <c r="A5" s="2" t="s">
        <v>88</v>
      </c>
      <c r="B5" s="5">
        <v>0.2</v>
      </c>
      <c r="C5" s="3">
        <v>2</v>
      </c>
      <c r="D5" s="3">
        <v>3</v>
      </c>
      <c r="E5" s="3">
        <v>5</v>
      </c>
      <c r="F5" s="6">
        <f t="shared" ref="F5:F10" si="0">B5*C5</f>
        <v>0.4</v>
      </c>
      <c r="G5" s="6">
        <f t="shared" ref="G5:G10" si="1">B5*D5</f>
        <v>0.60000000000000009</v>
      </c>
      <c r="H5" s="6">
        <f t="shared" ref="H5:H10" si="2">B5*E5</f>
        <v>1</v>
      </c>
      <c r="I5" s="3"/>
    </row>
    <row r="6" spans="1:9" ht="12" customHeight="1">
      <c r="A6" s="2" t="s">
        <v>89</v>
      </c>
      <c r="B6" s="5">
        <v>0.15</v>
      </c>
      <c r="C6" s="3">
        <v>1</v>
      </c>
      <c r="D6" s="3">
        <v>3</v>
      </c>
      <c r="E6" s="3">
        <v>5</v>
      </c>
      <c r="F6" s="6">
        <f t="shared" si="0"/>
        <v>0.15</v>
      </c>
      <c r="G6" s="6">
        <f t="shared" si="1"/>
        <v>0.44999999999999996</v>
      </c>
      <c r="H6" s="6">
        <f t="shared" si="2"/>
        <v>0.75</v>
      </c>
      <c r="I6" s="3"/>
    </row>
    <row r="7" spans="1:9" ht="12" customHeight="1">
      <c r="A7" s="2" t="s">
        <v>90</v>
      </c>
      <c r="B7" s="5">
        <v>0.2</v>
      </c>
      <c r="C7" s="3">
        <v>5</v>
      </c>
      <c r="D7" s="3">
        <v>3</v>
      </c>
      <c r="E7" s="3">
        <v>2</v>
      </c>
      <c r="F7" s="6">
        <f t="shared" si="0"/>
        <v>1</v>
      </c>
      <c r="G7" s="6">
        <f t="shared" si="1"/>
        <v>0.60000000000000009</v>
      </c>
      <c r="H7" s="6">
        <f t="shared" si="2"/>
        <v>0.4</v>
      </c>
      <c r="I7" s="3"/>
    </row>
    <row r="8" spans="1:9" ht="12" customHeight="1">
      <c r="A8" s="2" t="s">
        <v>91</v>
      </c>
      <c r="B8" s="5">
        <v>0.15</v>
      </c>
      <c r="C8" s="3">
        <v>2</v>
      </c>
      <c r="D8" s="3">
        <v>4</v>
      </c>
      <c r="E8" s="3">
        <v>5</v>
      </c>
      <c r="F8" s="6">
        <f t="shared" si="0"/>
        <v>0.3</v>
      </c>
      <c r="G8" s="6">
        <f t="shared" si="1"/>
        <v>0.6</v>
      </c>
      <c r="H8" s="6">
        <f t="shared" si="2"/>
        <v>0.75</v>
      </c>
      <c r="I8" s="3"/>
    </row>
    <row r="9" spans="1:9" ht="12" customHeight="1">
      <c r="A9" s="2" t="s">
        <v>21</v>
      </c>
      <c r="B9" s="5">
        <v>0.15</v>
      </c>
      <c r="C9" s="3">
        <v>3</v>
      </c>
      <c r="D9" s="3">
        <v>3</v>
      </c>
      <c r="E9" s="3">
        <v>5</v>
      </c>
      <c r="F9" s="6">
        <f t="shared" si="0"/>
        <v>0.44999999999999996</v>
      </c>
      <c r="G9" s="6">
        <f t="shared" si="1"/>
        <v>0.44999999999999996</v>
      </c>
      <c r="H9" s="6">
        <f t="shared" si="2"/>
        <v>0.75</v>
      </c>
      <c r="I9" s="3"/>
    </row>
    <row r="10" spans="1:9" ht="12" customHeight="1">
      <c r="A10" s="2" t="s">
        <v>92</v>
      </c>
      <c r="B10" s="5">
        <v>0.15</v>
      </c>
      <c r="C10" s="3">
        <v>5</v>
      </c>
      <c r="D10" s="3">
        <v>4</v>
      </c>
      <c r="E10" s="3">
        <v>3</v>
      </c>
      <c r="F10" s="6">
        <f t="shared" si="0"/>
        <v>0.75</v>
      </c>
      <c r="G10" s="6">
        <f t="shared" si="1"/>
        <v>0.6</v>
      </c>
      <c r="H10" s="6">
        <f t="shared" si="2"/>
        <v>0.44999999999999996</v>
      </c>
      <c r="I10" s="3"/>
    </row>
    <row r="11" spans="1:9" ht="12" customHeight="1">
      <c r="A11" s="2" t="s">
        <v>93</v>
      </c>
      <c r="B11" s="2"/>
      <c r="C11" s="2"/>
      <c r="D11" s="2"/>
      <c r="E11" s="2"/>
      <c r="F11" s="6">
        <f>SUM(F5:F10)</f>
        <v>3.05</v>
      </c>
      <c r="G11" s="6">
        <f>SUM(G5:G10)</f>
        <v>3.3000000000000003</v>
      </c>
      <c r="H11" s="6">
        <f>SUM(H5:H10)</f>
        <v>4.0999999999999996</v>
      </c>
      <c r="I11" s="2"/>
    </row>
    <row r="12" spans="1:9" ht="12" customHeight="1">
      <c r="A12" s="2"/>
      <c r="B12" s="2"/>
      <c r="C12" s="2"/>
      <c r="D12" s="2"/>
      <c r="E12" s="2"/>
      <c r="F12" s="2"/>
      <c r="G12" s="2"/>
      <c r="H12" s="2"/>
      <c r="I12" s="2"/>
    </row>
    <row r="13" spans="1:9" ht="12" customHeight="1">
      <c r="A13" s="8" t="s">
        <v>94</v>
      </c>
      <c r="B13" s="8"/>
      <c r="C13" s="8"/>
      <c r="D13" s="8"/>
      <c r="E13" s="8"/>
      <c r="F13" s="8"/>
      <c r="G13" s="8"/>
      <c r="H13" s="8"/>
      <c r="I13" s="8"/>
    </row>
    <row r="14" spans="1:9" ht="12" customHeight="1">
      <c r="A14" s="2" t="s">
        <v>19</v>
      </c>
      <c r="B14" s="2" t="s">
        <v>95</v>
      </c>
      <c r="C14" s="2" t="s">
        <v>96</v>
      </c>
      <c r="D14" s="2" t="s">
        <v>97</v>
      </c>
      <c r="E14" s="2"/>
      <c r="F14" s="2"/>
      <c r="G14" s="2"/>
      <c r="H14" s="2"/>
      <c r="I14" s="2"/>
    </row>
    <row r="15" spans="1:9" ht="31.65" customHeight="1">
      <c r="A15" s="2" t="s">
        <v>82</v>
      </c>
      <c r="B15" s="2" t="s">
        <v>98</v>
      </c>
      <c r="C15" s="2" t="s">
        <v>99</v>
      </c>
      <c r="D15" s="2" t="s">
        <v>100</v>
      </c>
      <c r="E15" s="2"/>
      <c r="F15" s="2"/>
      <c r="G15" s="2"/>
      <c r="H15" s="2"/>
      <c r="I15" s="2"/>
    </row>
    <row r="16" spans="1:9" ht="31.65" customHeight="1">
      <c r="A16" s="2" t="s">
        <v>83</v>
      </c>
      <c r="B16" s="2" t="s">
        <v>101</v>
      </c>
      <c r="C16" s="2" t="s">
        <v>102</v>
      </c>
      <c r="D16" s="2" t="s">
        <v>103</v>
      </c>
      <c r="E16" s="2"/>
      <c r="F16" s="2"/>
      <c r="G16" s="2"/>
      <c r="H16" s="2"/>
      <c r="I16" s="2"/>
    </row>
    <row r="17" spans="1:9" ht="31.65" customHeight="1">
      <c r="A17" s="2" t="s">
        <v>84</v>
      </c>
      <c r="B17" s="2" t="s">
        <v>104</v>
      </c>
      <c r="C17" s="2" t="s">
        <v>105</v>
      </c>
      <c r="D17" s="2" t="s">
        <v>106</v>
      </c>
      <c r="E17" s="2"/>
      <c r="F17" s="2"/>
      <c r="G17" s="2"/>
      <c r="H17" s="2"/>
      <c r="I17" s="2"/>
    </row>
  </sheetData>
  <mergeCells count="3">
    <mergeCell ref="A1:I1"/>
    <mergeCell ref="A2:I2"/>
    <mergeCell ref="A13:I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3.8"/>
  <cols>
    <col min="1" max="1" width="20" customWidth="1"/>
    <col min="2" max="2" width="28" customWidth="1"/>
    <col min="3" max="3" width="30" customWidth="1"/>
    <col min="4" max="4" width="38" customWidth="1"/>
  </cols>
  <sheetData>
    <row r="1" spans="1:4" ht="61.5" customHeight="1">
      <c r="A1" s="7" t="s">
        <v>107</v>
      </c>
      <c r="B1" s="7"/>
      <c r="C1" s="7"/>
      <c r="D1" s="7"/>
    </row>
    <row r="2" spans="1:4" ht="12" customHeight="1">
      <c r="A2" s="2"/>
      <c r="B2" s="2"/>
      <c r="C2" s="2"/>
      <c r="D2" s="2"/>
    </row>
    <row r="3" spans="1:4" ht="12" customHeight="1">
      <c r="A3" s="1" t="s">
        <v>108</v>
      </c>
      <c r="B3" s="1" t="s">
        <v>109</v>
      </c>
      <c r="C3" s="1" t="s">
        <v>110</v>
      </c>
      <c r="D3" s="1" t="s">
        <v>111</v>
      </c>
    </row>
    <row r="4" spans="1:4" ht="12" customHeight="1">
      <c r="A4" s="2" t="s">
        <v>112</v>
      </c>
      <c r="B4" s="2" t="s">
        <v>113</v>
      </c>
      <c r="C4" s="2" t="s">
        <v>114</v>
      </c>
      <c r="D4" s="2" t="s">
        <v>115</v>
      </c>
    </row>
    <row r="5" spans="1:4" ht="12" customHeight="1">
      <c r="A5" s="2" t="s">
        <v>116</v>
      </c>
      <c r="B5" s="2" t="s">
        <v>117</v>
      </c>
      <c r="C5" s="2" t="s">
        <v>118</v>
      </c>
      <c r="D5" s="2" t="s">
        <v>119</v>
      </c>
    </row>
    <row r="6" spans="1:4" ht="12" customHeight="1">
      <c r="A6" s="2" t="s">
        <v>120</v>
      </c>
      <c r="B6" s="2" t="s">
        <v>121</v>
      </c>
      <c r="C6" s="2" t="s">
        <v>122</v>
      </c>
      <c r="D6" s="2" t="s">
        <v>123</v>
      </c>
    </row>
    <row r="7" spans="1:4" ht="12" customHeight="1">
      <c r="A7" s="2" t="s">
        <v>124</v>
      </c>
      <c r="B7" s="2" t="s">
        <v>125</v>
      </c>
      <c r="C7" s="2" t="s">
        <v>126</v>
      </c>
      <c r="D7" s="2" t="s">
        <v>127</v>
      </c>
    </row>
    <row r="8" spans="1:4" ht="12" customHeight="1">
      <c r="A8" s="2" t="s">
        <v>128</v>
      </c>
      <c r="B8" s="2" t="s">
        <v>129</v>
      </c>
      <c r="C8" s="2" t="s">
        <v>130</v>
      </c>
      <c r="D8" s="2" t="s">
        <v>131</v>
      </c>
    </row>
    <row r="9" spans="1:4" ht="12" customHeight="1">
      <c r="A9" s="2" t="s">
        <v>132</v>
      </c>
      <c r="B9" s="2" t="s">
        <v>133</v>
      </c>
      <c r="C9" s="2" t="s">
        <v>134</v>
      </c>
      <c r="D9" s="2" t="s">
        <v>135</v>
      </c>
    </row>
    <row r="10" spans="1:4" ht="12" customHeight="1">
      <c r="A10" s="2"/>
      <c r="B10" s="2"/>
      <c r="C10" s="2"/>
      <c r="D10" s="2"/>
    </row>
    <row r="11" spans="1:4" ht="12" customHeight="1">
      <c r="A11" s="1" t="s">
        <v>136</v>
      </c>
      <c r="B11" s="1" t="s">
        <v>137</v>
      </c>
      <c r="C11" s="1" t="s">
        <v>138</v>
      </c>
      <c r="D11" s="1" t="s">
        <v>139</v>
      </c>
    </row>
    <row r="12" spans="1:4" ht="12" customHeight="1">
      <c r="A12" s="2" t="s">
        <v>140</v>
      </c>
      <c r="B12" s="2" t="s">
        <v>141</v>
      </c>
      <c r="C12" s="2" t="s">
        <v>142</v>
      </c>
      <c r="D12" s="2" t="s">
        <v>143</v>
      </c>
    </row>
    <row r="13" spans="1:4" ht="21.15" customHeight="1">
      <c r="A13" s="2" t="s">
        <v>144</v>
      </c>
      <c r="B13" s="2" t="s">
        <v>145</v>
      </c>
      <c r="C13" s="2" t="s">
        <v>146</v>
      </c>
      <c r="D13" s="2" t="s">
        <v>147</v>
      </c>
    </row>
    <row r="14" spans="1:4" ht="21.15" customHeight="1">
      <c r="A14" s="2" t="s">
        <v>148</v>
      </c>
      <c r="B14" s="2" t="s">
        <v>149</v>
      </c>
      <c r="C14" s="2" t="s">
        <v>150</v>
      </c>
      <c r="D14" s="2" t="s">
        <v>151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1-StorageRequirements</vt:lpstr>
      <vt:lpstr>2-AutomationTesting</vt:lpstr>
      <vt:lpstr>3-AcquisitionOptions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Paulson, Patrick G</cp:lastModifiedBy>
  <dcterms:modified xsi:type="dcterms:W3CDTF">2026-07-27T22:45:35Z</dcterms:modified>
</cp:coreProperties>
</file>